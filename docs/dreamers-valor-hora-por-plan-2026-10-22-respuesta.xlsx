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ream\Downloads\"/>
    </mc:Choice>
  </mc:AlternateContent>
  <xr:revisionPtr revIDLastSave="0" documentId="13_ncr:1_{8EE5135B-1B6D-441E-AFB4-B925370A13C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es con horas" sheetId="1" r:id="rId1"/>
    <sheet name="Planes por completar" sheetId="2" r:id="rId2"/>
    <sheet name="Not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E26" i="1" l="1"/>
  <c r="E25" i="1"/>
</calcChain>
</file>

<file path=xl/sharedStrings.xml><?xml version="1.0" encoding="utf-8"?>
<sst xmlns="http://schemas.openxmlformats.org/spreadsheetml/2006/main" count="56" uniqueCount="49">
  <si>
    <t>Dreamers Gymnastics · Valor de la hora por plan</t>
  </si>
  <si>
    <t>Valor de la hora = precio del plan ÷ horas incluidas al mes. Es la tarifa que usa SportMaps para vender horas adicionales y para cobrar excedentes.</t>
  </si>
  <si>
    <t>Plan</t>
  </si>
  <si>
    <t>Precio mensual</t>
  </si>
  <si>
    <t>Minutos incluidos</t>
  </si>
  <si>
    <t>Horas incluidas</t>
  </si>
  <si>
    <t>Valor de la hora</t>
  </si>
  <si>
    <t>PGA12x2</t>
  </si>
  <si>
    <t>Mínimo</t>
  </si>
  <si>
    <t>Máximo</t>
  </si>
  <si>
    <t>Ejemplo: 2 horas extra de PGR6x2 = 2 × $32.250 = $64.500. El valor se puede ajustar a mano en el modal de Cobros y pagos.</t>
  </si>
  <si>
    <t>Planes SIN horas configuradas: Dreamers debe completar la columna amarilla</t>
  </si>
  <si>
    <t>A estos planes no se les pueden vender horas adicionales ni cobrar excedentes hasta que tengan las horas incluidas al mes. Escriba las HORAS (no minutos) que incluye cada plan; el valor de la hora se calcula solo.</t>
  </si>
  <si>
    <t>CPP1x1</t>
  </si>
  <si>
    <t>CPG1x2</t>
  </si>
  <si>
    <t>PGC16x3</t>
  </si>
  <si>
    <t>PGC20x3</t>
  </si>
  <si>
    <t>PGC20x4</t>
  </si>
  <si>
    <t>Notas</t>
  </si>
  <si>
    <t>Cómo se usa</t>
  </si>
  <si>
    <t>En SportMaps → Cobros y pagos → Nuevo cobro → «Horas adicionales». Se elige cuántas horas (de a 15 minutos) y el sistema propone el valor con la tarifa del plan.</t>
  </si>
  <si>
    <t>Quién puede</t>
  </si>
  <si>
    <t>Solo el dueño de la escuela vende horas adicionales.</t>
  </si>
  <si>
    <t>Cuándo se suman</t>
  </si>
  <si>
    <t>Las horas entran al banco del atleta solo cuando el cobro queda PAGADO. Si se anula el cobro, se restan.</t>
  </si>
  <si>
    <t>Si el atleta ya las consumió</t>
  </si>
  <si>
    <t>Si el atleta usó más de lo incluido, el cron del cierre de periodo sigue sugiriendo el excedente como siempre.</t>
  </si>
  <si>
    <t>Tarifa</t>
  </si>
  <si>
    <t>Un solo valor por plan completo: precio ÷ horas incluidas, sin tarifa especial de excedente (decisión D8). Por eso la hora de PGR4x2 ($35.625) cuesta más del doble que la de PGA12x3 ($15.139).</t>
  </si>
  <si>
    <t>Pendiente</t>
  </si>
  <si>
    <t>Confirmar si Dreamers prefiere una tarifa única de hora extra para todos los planes. Hoy no se cobra así.</t>
  </si>
  <si>
    <t>PGA12x3/36</t>
  </si>
  <si>
    <t>PGC16x4 /64</t>
  </si>
  <si>
    <t>PGA8x3/24</t>
  </si>
  <si>
    <t>PGC12x4/48</t>
  </si>
  <si>
    <t>PGA8x2/16</t>
  </si>
  <si>
    <t>PGC12x3/36</t>
  </si>
  <si>
    <t>PGC16x2/32</t>
  </si>
  <si>
    <t>PGC8x4/32</t>
  </si>
  <si>
    <t>PGA4x2/8</t>
  </si>
  <si>
    <t>PGC8x3/24</t>
  </si>
  <si>
    <t>PGR4x4/16</t>
  </si>
  <si>
    <t>PGR8x2/16</t>
  </si>
  <si>
    <t>PGR4x3/12</t>
  </si>
  <si>
    <t>PGR6x2/12</t>
  </si>
  <si>
    <t>PGR4x2/8</t>
  </si>
  <si>
    <t>PGP8x1/8</t>
  </si>
  <si>
    <t>PGP4x1/4</t>
  </si>
  <si>
    <t>PGC20x2/40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</si>
</sst>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$&quot;#,##0"/>
    <numFmt numFmtId="165" formatCode="0.##"/>
    <numFmt numFmtId="169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2694"/>
      </patternFill>
    </fill>
    <fill>
      <patternFill patternType="solid">
        <fgColor rgb="FFF2F4F8"/>
      </patternFill>
    </fill>
    <fill>
      <patternFill patternType="solid">
        <fgColor rgb="FFFFF4BF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3" fillId="0" borderId="0" xfId="0" applyFont="1"/>
    <xf numFmtId="164" fontId="0" fillId="0" borderId="0" xfId="0" applyNumberFormat="1"/>
    <xf numFmtId="0" fontId="0" fillId="4" borderId="1" xfId="0" applyFill="1" applyBorder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0" fontId="0" fillId="0" borderId="0" xfId="0" applyAlignment="1">
      <alignment wrapText="1"/>
    </xf>
    <xf numFmtId="0" fontId="0" fillId="0" borderId="0" xfId="0"/>
    <xf numFmtId="169" fontId="0" fillId="0" borderId="1" xfId="1" applyNumberFormat="1" applyFont="1" applyBorder="1"/>
    <xf numFmtId="169" fontId="0" fillId="0" borderId="1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4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pane ySplit="4" topLeftCell="A5" activePane="bottomLeft" state="frozen"/>
      <selection pane="bottomLeft" activeCell="G30" sqref="G30"/>
    </sheetView>
  </sheetViews>
  <sheetFormatPr baseColWidth="10" defaultColWidth="9.140625" defaultRowHeight="15" x14ac:dyDescent="0.25"/>
  <cols>
    <col min="1" max="1" width="16" customWidth="1"/>
    <col min="2" max="5" width="18" customWidth="1"/>
  </cols>
  <sheetData>
    <row r="1" spans="1:5" ht="18.75" x14ac:dyDescent="0.3">
      <c r="A1" s="1" t="s">
        <v>0</v>
      </c>
    </row>
    <row r="2" spans="1:5" ht="33.950000000000003" customHeight="1" x14ac:dyDescent="0.25">
      <c r="A2" s="17" t="s">
        <v>1</v>
      </c>
      <c r="B2" s="18"/>
      <c r="C2" s="18"/>
      <c r="D2" s="18"/>
      <c r="E2" s="18"/>
    </row>
    <row r="4" spans="1:5" ht="32.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 t="s">
        <v>31</v>
      </c>
      <c r="B5" s="4">
        <v>545000</v>
      </c>
      <c r="C5" s="3">
        <v>2160</v>
      </c>
      <c r="D5" s="5">
        <f t="shared" ref="D5:D20" si="0">C5/60</f>
        <v>36</v>
      </c>
      <c r="E5" s="4">
        <f t="shared" ref="E5:E20" si="1">ROUND(B5/D5,0)</f>
        <v>15139</v>
      </c>
    </row>
    <row r="6" spans="1:5" x14ac:dyDescent="0.25">
      <c r="A6" s="6" t="s">
        <v>32</v>
      </c>
      <c r="B6" s="7">
        <v>1142000</v>
      </c>
      <c r="C6" s="6">
        <v>3840</v>
      </c>
      <c r="D6" s="8">
        <f t="shared" si="0"/>
        <v>64</v>
      </c>
      <c r="E6" s="7">
        <f t="shared" si="1"/>
        <v>17844</v>
      </c>
    </row>
    <row r="7" spans="1:5" x14ac:dyDescent="0.25">
      <c r="A7" s="3" t="s">
        <v>7</v>
      </c>
      <c r="B7" s="4">
        <v>457000</v>
      </c>
      <c r="C7" s="3">
        <v>1440</v>
      </c>
      <c r="D7" s="5">
        <f t="shared" si="0"/>
        <v>24</v>
      </c>
      <c r="E7" s="4">
        <f t="shared" si="1"/>
        <v>19042</v>
      </c>
    </row>
    <row r="8" spans="1:5" x14ac:dyDescent="0.25">
      <c r="A8" s="6" t="s">
        <v>33</v>
      </c>
      <c r="B8" s="7">
        <v>457000</v>
      </c>
      <c r="C8" s="6">
        <v>1440</v>
      </c>
      <c r="D8" s="8">
        <f t="shared" si="0"/>
        <v>24</v>
      </c>
      <c r="E8" s="7">
        <f t="shared" si="1"/>
        <v>19042</v>
      </c>
    </row>
    <row r="9" spans="1:5" x14ac:dyDescent="0.25">
      <c r="A9" s="3" t="s">
        <v>34</v>
      </c>
      <c r="B9" s="4">
        <v>1048000</v>
      </c>
      <c r="C9" s="3">
        <v>2880</v>
      </c>
      <c r="D9" s="5">
        <f t="shared" si="0"/>
        <v>48</v>
      </c>
      <c r="E9" s="4">
        <f t="shared" si="1"/>
        <v>21833</v>
      </c>
    </row>
    <row r="10" spans="1:5" x14ac:dyDescent="0.25">
      <c r="A10" s="6" t="s">
        <v>35</v>
      </c>
      <c r="B10" s="7">
        <v>353000</v>
      </c>
      <c r="C10" s="6">
        <v>960</v>
      </c>
      <c r="D10" s="8">
        <f t="shared" si="0"/>
        <v>16</v>
      </c>
      <c r="E10" s="7">
        <f t="shared" si="1"/>
        <v>22063</v>
      </c>
    </row>
    <row r="11" spans="1:5" x14ac:dyDescent="0.25">
      <c r="A11" s="3" t="s">
        <v>36</v>
      </c>
      <c r="B11" s="4">
        <v>964000</v>
      </c>
      <c r="C11" s="3">
        <v>2160</v>
      </c>
      <c r="D11" s="5">
        <f t="shared" si="0"/>
        <v>36</v>
      </c>
      <c r="E11" s="4">
        <f t="shared" si="1"/>
        <v>26778</v>
      </c>
    </row>
    <row r="12" spans="1:5" x14ac:dyDescent="0.25">
      <c r="A12" s="6" t="s">
        <v>37</v>
      </c>
      <c r="B12" s="7">
        <v>884000</v>
      </c>
      <c r="C12" s="6">
        <v>1920</v>
      </c>
      <c r="D12" s="8">
        <f t="shared" si="0"/>
        <v>32</v>
      </c>
      <c r="E12" s="7">
        <f t="shared" si="1"/>
        <v>27625</v>
      </c>
    </row>
    <row r="13" spans="1:5" x14ac:dyDescent="0.25">
      <c r="A13" s="3" t="s">
        <v>38</v>
      </c>
      <c r="B13" s="4">
        <v>884000</v>
      </c>
      <c r="C13" s="3">
        <v>1920</v>
      </c>
      <c r="D13" s="5">
        <f t="shared" si="0"/>
        <v>32</v>
      </c>
      <c r="E13" s="4">
        <f t="shared" si="1"/>
        <v>27625</v>
      </c>
    </row>
    <row r="14" spans="1:5" x14ac:dyDescent="0.25">
      <c r="A14" s="6" t="s">
        <v>39</v>
      </c>
      <c r="B14" s="7">
        <v>235000</v>
      </c>
      <c r="C14" s="6">
        <v>480</v>
      </c>
      <c r="D14" s="8">
        <f t="shared" si="0"/>
        <v>8</v>
      </c>
      <c r="E14" s="7">
        <f t="shared" si="1"/>
        <v>29375</v>
      </c>
    </row>
    <row r="15" spans="1:5" x14ac:dyDescent="0.25">
      <c r="A15" s="3" t="s">
        <v>40</v>
      </c>
      <c r="B15" s="4">
        <v>723000</v>
      </c>
      <c r="C15" s="3">
        <v>1440</v>
      </c>
      <c r="D15" s="5">
        <f t="shared" si="0"/>
        <v>24</v>
      </c>
      <c r="E15" s="4">
        <f t="shared" si="1"/>
        <v>30125</v>
      </c>
    </row>
    <row r="16" spans="1:5" x14ac:dyDescent="0.25">
      <c r="A16" s="6" t="s">
        <v>41</v>
      </c>
      <c r="B16" s="7">
        <v>489000</v>
      </c>
      <c r="C16" s="6">
        <v>960</v>
      </c>
      <c r="D16" s="8">
        <f t="shared" si="0"/>
        <v>16</v>
      </c>
      <c r="E16" s="7">
        <f t="shared" si="1"/>
        <v>30563</v>
      </c>
    </row>
    <row r="17" spans="1:5" x14ac:dyDescent="0.25">
      <c r="A17" s="3" t="s">
        <v>42</v>
      </c>
      <c r="B17" s="4">
        <v>489000</v>
      </c>
      <c r="C17" s="3">
        <v>960</v>
      </c>
      <c r="D17" s="5">
        <f t="shared" si="0"/>
        <v>16</v>
      </c>
      <c r="E17" s="4">
        <f t="shared" si="1"/>
        <v>30563</v>
      </c>
    </row>
    <row r="18" spans="1:5" x14ac:dyDescent="0.25">
      <c r="A18" s="6" t="s">
        <v>43</v>
      </c>
      <c r="B18" s="7">
        <v>387000</v>
      </c>
      <c r="C18" s="6">
        <v>720</v>
      </c>
      <c r="D18" s="8">
        <f t="shared" si="0"/>
        <v>12</v>
      </c>
      <c r="E18" s="7">
        <f t="shared" si="1"/>
        <v>32250</v>
      </c>
    </row>
    <row r="19" spans="1:5" x14ac:dyDescent="0.25">
      <c r="A19" s="3" t="s">
        <v>44</v>
      </c>
      <c r="B19" s="4">
        <v>387000</v>
      </c>
      <c r="C19" s="3">
        <v>720</v>
      </c>
      <c r="D19" s="5">
        <f t="shared" si="0"/>
        <v>12</v>
      </c>
      <c r="E19" s="4">
        <f t="shared" si="1"/>
        <v>32250</v>
      </c>
    </row>
    <row r="20" spans="1:5" x14ac:dyDescent="0.25">
      <c r="A20" s="6" t="s">
        <v>45</v>
      </c>
      <c r="B20" s="7">
        <v>285000</v>
      </c>
      <c r="C20" s="6">
        <v>480</v>
      </c>
      <c r="D20" s="8">
        <f t="shared" si="0"/>
        <v>8</v>
      </c>
      <c r="E20" s="7">
        <f t="shared" si="1"/>
        <v>35625</v>
      </c>
    </row>
    <row r="21" spans="1:5" x14ac:dyDescent="0.25">
      <c r="A21" s="14" t="s">
        <v>46</v>
      </c>
      <c r="B21" s="15">
        <v>245000</v>
      </c>
      <c r="C21" s="14"/>
      <c r="D21" s="16">
        <v>8</v>
      </c>
      <c r="E21" s="15">
        <v>30625</v>
      </c>
    </row>
    <row r="22" spans="1:5" x14ac:dyDescent="0.25">
      <c r="A22" s="14" t="s">
        <v>47</v>
      </c>
      <c r="B22" s="15">
        <v>122500</v>
      </c>
      <c r="C22" s="14"/>
      <c r="D22" s="16">
        <v>4</v>
      </c>
      <c r="E22" s="15">
        <v>30625</v>
      </c>
    </row>
    <row r="23" spans="1:5" x14ac:dyDescent="0.25">
      <c r="A23" s="14"/>
      <c r="B23" s="15"/>
      <c r="C23" s="14"/>
      <c r="D23" s="16"/>
      <c r="E23" s="15"/>
    </row>
    <row r="25" spans="1:5" x14ac:dyDescent="0.25">
      <c r="A25" s="9" t="s">
        <v>8</v>
      </c>
      <c r="E25" s="10">
        <f>MIN(E5:E20)</f>
        <v>15139</v>
      </c>
    </row>
    <row r="26" spans="1:5" x14ac:dyDescent="0.25">
      <c r="A26" s="9" t="s">
        <v>9</v>
      </c>
      <c r="E26" s="10">
        <f>MAX(E5:E20)</f>
        <v>35625</v>
      </c>
    </row>
    <row r="28" spans="1:5" x14ac:dyDescent="0.25">
      <c r="A28" s="18" t="s">
        <v>10</v>
      </c>
      <c r="B28" s="18"/>
      <c r="C28" s="18"/>
      <c r="D28" s="18"/>
      <c r="E28" s="18"/>
    </row>
  </sheetData>
  <mergeCells count="2">
    <mergeCell ref="A2:E2"/>
    <mergeCell ref="A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pane ySplit="3" topLeftCell="A4" activePane="bottomLeft" state="frozen"/>
      <selection pane="bottomLeft" activeCell="A11" sqref="A11:XFD12"/>
    </sheetView>
  </sheetViews>
  <sheetFormatPr baseColWidth="10" defaultColWidth="9.140625" defaultRowHeight="15" x14ac:dyDescent="0.25"/>
  <cols>
    <col min="1" max="1" width="16" customWidth="1"/>
    <col min="2" max="2" width="18" customWidth="1"/>
    <col min="3" max="3" width="24" customWidth="1"/>
    <col min="4" max="4" width="20" customWidth="1"/>
    <col min="5" max="5" width="40" customWidth="1"/>
  </cols>
  <sheetData>
    <row r="1" spans="1:5" ht="18.75" x14ac:dyDescent="0.3">
      <c r="A1" s="1" t="s">
        <v>11</v>
      </c>
    </row>
    <row r="2" spans="1:5" ht="45.95" customHeight="1" x14ac:dyDescent="0.25">
      <c r="A2" s="17" t="s">
        <v>12</v>
      </c>
      <c r="B2" s="18"/>
      <c r="C2" s="18"/>
      <c r="D2" s="18"/>
      <c r="E2" s="18"/>
    </row>
    <row r="4" spans="1:5" ht="32.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x14ac:dyDescent="0.25">
      <c r="A5" s="3" t="s">
        <v>13</v>
      </c>
      <c r="B5" s="4">
        <v>35000</v>
      </c>
      <c r="C5" s="11"/>
      <c r="D5" s="4" t="str">
        <f t="shared" ref="D5:D6" si="0">IF(C5&gt;0,ROUND(B5/C5,0),"")</f>
        <v/>
      </c>
      <c r="E5" s="11"/>
    </row>
    <row r="6" spans="1:5" x14ac:dyDescent="0.25">
      <c r="A6" s="3" t="s">
        <v>14</v>
      </c>
      <c r="B6" s="4">
        <v>70000</v>
      </c>
      <c r="C6" s="11"/>
      <c r="D6" s="4" t="str">
        <f t="shared" si="0"/>
        <v/>
      </c>
      <c r="E6" s="11"/>
    </row>
    <row r="7" spans="1:5" x14ac:dyDescent="0.25">
      <c r="A7" s="3" t="s">
        <v>48</v>
      </c>
      <c r="B7" s="4">
        <v>996000</v>
      </c>
      <c r="C7" s="11"/>
      <c r="D7" s="19">
        <v>40</v>
      </c>
      <c r="E7" s="11">
        <v>24900</v>
      </c>
    </row>
    <row r="8" spans="1:5" x14ac:dyDescent="0.25">
      <c r="A8" s="3" t="s">
        <v>15</v>
      </c>
      <c r="B8" s="4">
        <v>1048000</v>
      </c>
      <c r="C8" s="11"/>
      <c r="D8" s="20">
        <v>48</v>
      </c>
      <c r="E8" s="11">
        <v>21833</v>
      </c>
    </row>
    <row r="9" spans="1:5" x14ac:dyDescent="0.25">
      <c r="A9" s="3" t="s">
        <v>16</v>
      </c>
      <c r="B9" s="4">
        <v>1107000</v>
      </c>
      <c r="C9" s="11"/>
      <c r="D9" s="20">
        <v>60</v>
      </c>
      <c r="E9" s="11">
        <v>18450</v>
      </c>
    </row>
    <row r="10" spans="1:5" x14ac:dyDescent="0.25">
      <c r="A10" s="3" t="s">
        <v>17</v>
      </c>
      <c r="B10" s="4">
        <v>1230000</v>
      </c>
      <c r="C10" s="11"/>
      <c r="D10" s="20">
        <v>80</v>
      </c>
      <c r="E10" s="11">
        <v>15375</v>
      </c>
    </row>
    <row r="11" spans="1:5" x14ac:dyDescent="0.25">
      <c r="A11" s="14" t="s">
        <v>46</v>
      </c>
      <c r="B11" s="15">
        <v>245000</v>
      </c>
      <c r="C11" s="14"/>
      <c r="D11" s="16">
        <v>8</v>
      </c>
      <c r="E11" s="15">
        <v>30625</v>
      </c>
    </row>
    <row r="12" spans="1:5" x14ac:dyDescent="0.25">
      <c r="A12" s="14" t="s">
        <v>47</v>
      </c>
      <c r="B12" s="15">
        <v>122500</v>
      </c>
      <c r="C12" s="14"/>
      <c r="D12" s="16">
        <v>4</v>
      </c>
      <c r="E12" s="15">
        <v>30625</v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cols>
    <col min="1" max="1" width="26" customWidth="1"/>
    <col min="2" max="2" width="100" customWidth="1"/>
  </cols>
  <sheetData>
    <row r="1" spans="1:2" ht="18.75" x14ac:dyDescent="0.3">
      <c r="A1" s="1" t="s">
        <v>18</v>
      </c>
    </row>
    <row r="3" spans="1:2" ht="48" customHeight="1" x14ac:dyDescent="0.25">
      <c r="A3" s="12" t="s">
        <v>19</v>
      </c>
      <c r="B3" s="13" t="s">
        <v>20</v>
      </c>
    </row>
    <row r="4" spans="1:2" ht="48" customHeight="1" x14ac:dyDescent="0.25">
      <c r="A4" s="12" t="s">
        <v>21</v>
      </c>
      <c r="B4" s="13" t="s">
        <v>22</v>
      </c>
    </row>
    <row r="5" spans="1:2" ht="48" customHeight="1" x14ac:dyDescent="0.25">
      <c r="A5" s="12" t="s">
        <v>23</v>
      </c>
      <c r="B5" s="13" t="s">
        <v>24</v>
      </c>
    </row>
    <row r="6" spans="1:2" ht="48" customHeight="1" x14ac:dyDescent="0.25">
      <c r="A6" s="12" t="s">
        <v>25</v>
      </c>
      <c r="B6" s="13" t="s">
        <v>26</v>
      </c>
    </row>
    <row r="7" spans="1:2" ht="48" customHeight="1" x14ac:dyDescent="0.25">
      <c r="A7" s="12" t="s">
        <v>27</v>
      </c>
      <c r="B7" s="13" t="s">
        <v>28</v>
      </c>
    </row>
    <row r="8" spans="1:2" ht="48" customHeight="1" x14ac:dyDescent="0.25">
      <c r="A8" s="12" t="s">
        <v>29</v>
      </c>
      <c r="B8" s="1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Planes con horas</vt:lpstr>
      <vt:lpstr>Planes por completar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Dreamers Gymnastics</cp:lastModifiedBy>
  <dcterms:created xsi:type="dcterms:W3CDTF">2026-10-21T20:44:48Z</dcterms:created>
  <dcterms:modified xsi:type="dcterms:W3CDTF">2026-10-22T21:25:06Z</dcterms:modified>
</cp:coreProperties>
</file>