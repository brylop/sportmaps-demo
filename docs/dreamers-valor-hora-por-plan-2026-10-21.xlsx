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s con horas" sheetId="1" state="visible" r:id="rId1"/>
    <sheet xmlns:r="http://schemas.openxmlformats.org/officeDocument/2006/relationships" name="Planes por completar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02694"/>
      </patternFill>
    </fill>
    <fill>
      <patternFill patternType="solid">
        <fgColor rgb="00F2F4F8"/>
      </patternFill>
    </fill>
    <fill>
      <patternFill patternType="solid">
        <fgColor rgb="00FFF4B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3" fillId="0" borderId="0" pivotButton="0" quotePrefix="0" xfId="0"/>
    <xf numFmtId="164" fontId="0" fillId="0" borderId="0" pivotButton="0" quotePrefix="0" xfId="0"/>
    <xf numFmtId="0" fontId="0" fillId="4" borderId="1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Dreamers Gymnastics · Valor de la hora por plan</t>
        </is>
      </c>
    </row>
    <row r="2" ht="34" customHeight="1">
      <c r="A2" s="2" t="inlineStr">
        <is>
          <t>Valor de la hora = precio del plan ÷ horas incluidas al mes. Es la tarifa que usa SportMaps para vender horas adicionales y para cobrar excedentes.</t>
        </is>
      </c>
    </row>
    <row r="4" ht="32" customHeight="1">
      <c r="A4" s="3" t="inlineStr">
        <is>
          <t>Plan</t>
        </is>
      </c>
      <c r="B4" s="3" t="inlineStr">
        <is>
          <t>Precio mensual</t>
        </is>
      </c>
      <c r="C4" s="3" t="inlineStr">
        <is>
          <t>Minutos incluidos</t>
        </is>
      </c>
      <c r="D4" s="3" t="inlineStr">
        <is>
          <t>Horas incluidas</t>
        </is>
      </c>
      <c r="E4" s="3" t="inlineStr">
        <is>
          <t>Valor de la hora</t>
        </is>
      </c>
    </row>
    <row r="5">
      <c r="A5" s="4" t="inlineStr">
        <is>
          <t>PGA12x3</t>
        </is>
      </c>
      <c r="B5" s="5" t="n">
        <v>545000</v>
      </c>
      <c r="C5" s="4" t="n">
        <v>2160</v>
      </c>
      <c r="D5" s="6">
        <f>C5/60</f>
        <v/>
      </c>
      <c r="E5" s="5">
        <f>ROUND(B5/D5,0)</f>
        <v/>
      </c>
    </row>
    <row r="6">
      <c r="A6" s="7" t="inlineStr">
        <is>
          <t>PGC16x4</t>
        </is>
      </c>
      <c r="B6" s="8" t="n">
        <v>1142000</v>
      </c>
      <c r="C6" s="7" t="n">
        <v>3840</v>
      </c>
      <c r="D6" s="9">
        <f>C6/60</f>
        <v/>
      </c>
      <c r="E6" s="8">
        <f>ROUND(B6/D6,0)</f>
        <v/>
      </c>
    </row>
    <row r="7">
      <c r="A7" s="4" t="inlineStr">
        <is>
          <t>PGA12x2</t>
        </is>
      </c>
      <c r="B7" s="5" t="n">
        <v>457000</v>
      </c>
      <c r="C7" s="4" t="n">
        <v>1440</v>
      </c>
      <c r="D7" s="6">
        <f>C7/60</f>
        <v/>
      </c>
      <c r="E7" s="5">
        <f>ROUND(B7/D7,0)</f>
        <v/>
      </c>
    </row>
    <row r="8">
      <c r="A8" s="7" t="inlineStr">
        <is>
          <t>PGA8x3</t>
        </is>
      </c>
      <c r="B8" s="8" t="n">
        <v>457000</v>
      </c>
      <c r="C8" s="7" t="n">
        <v>1440</v>
      </c>
      <c r="D8" s="9">
        <f>C8/60</f>
        <v/>
      </c>
      <c r="E8" s="8">
        <f>ROUND(B8/D8,0)</f>
        <v/>
      </c>
    </row>
    <row r="9">
      <c r="A9" s="4" t="inlineStr">
        <is>
          <t>PGC12x4</t>
        </is>
      </c>
      <c r="B9" s="5" t="n">
        <v>1048000</v>
      </c>
      <c r="C9" s="4" t="n">
        <v>2880</v>
      </c>
      <c r="D9" s="6">
        <f>C9/60</f>
        <v/>
      </c>
      <c r="E9" s="5">
        <f>ROUND(B9/D9,0)</f>
        <v/>
      </c>
    </row>
    <row r="10">
      <c r="A10" s="7" t="inlineStr">
        <is>
          <t>PGA8x2</t>
        </is>
      </c>
      <c r="B10" s="8" t="n">
        <v>353000</v>
      </c>
      <c r="C10" s="7" t="n">
        <v>960</v>
      </c>
      <c r="D10" s="9">
        <f>C10/60</f>
        <v/>
      </c>
      <c r="E10" s="8">
        <f>ROUND(B10/D10,0)</f>
        <v/>
      </c>
    </row>
    <row r="11">
      <c r="A11" s="4" t="inlineStr">
        <is>
          <t>PGC12x3</t>
        </is>
      </c>
      <c r="B11" s="5" t="n">
        <v>964000</v>
      </c>
      <c r="C11" s="4" t="n">
        <v>2160</v>
      </c>
      <c r="D11" s="6">
        <f>C11/60</f>
        <v/>
      </c>
      <c r="E11" s="5">
        <f>ROUND(B11/D11,0)</f>
        <v/>
      </c>
    </row>
    <row r="12">
      <c r="A12" s="7" t="inlineStr">
        <is>
          <t>PGC16x2</t>
        </is>
      </c>
      <c r="B12" s="8" t="n">
        <v>884000</v>
      </c>
      <c r="C12" s="7" t="n">
        <v>1920</v>
      </c>
      <c r="D12" s="9">
        <f>C12/60</f>
        <v/>
      </c>
      <c r="E12" s="8">
        <f>ROUND(B12/D12,0)</f>
        <v/>
      </c>
    </row>
    <row r="13">
      <c r="A13" s="4" t="inlineStr">
        <is>
          <t>PGC8x4</t>
        </is>
      </c>
      <c r="B13" s="5" t="n">
        <v>884000</v>
      </c>
      <c r="C13" s="4" t="n">
        <v>1920</v>
      </c>
      <c r="D13" s="6">
        <f>C13/60</f>
        <v/>
      </c>
      <c r="E13" s="5">
        <f>ROUND(B13/D13,0)</f>
        <v/>
      </c>
    </row>
    <row r="14">
      <c r="A14" s="7" t="inlineStr">
        <is>
          <t>PGA4x2</t>
        </is>
      </c>
      <c r="B14" s="8" t="n">
        <v>235000</v>
      </c>
      <c r="C14" s="7" t="n">
        <v>480</v>
      </c>
      <c r="D14" s="9">
        <f>C14/60</f>
        <v/>
      </c>
      <c r="E14" s="8">
        <f>ROUND(B14/D14,0)</f>
        <v/>
      </c>
    </row>
    <row r="15">
      <c r="A15" s="4" t="inlineStr">
        <is>
          <t>PGC8x3</t>
        </is>
      </c>
      <c r="B15" s="5" t="n">
        <v>723000</v>
      </c>
      <c r="C15" s="4" t="n">
        <v>1440</v>
      </c>
      <c r="D15" s="6">
        <f>C15/60</f>
        <v/>
      </c>
      <c r="E15" s="5">
        <f>ROUND(B15/D15,0)</f>
        <v/>
      </c>
    </row>
    <row r="16">
      <c r="A16" s="7" t="inlineStr">
        <is>
          <t>PGR4x4</t>
        </is>
      </c>
      <c r="B16" s="8" t="n">
        <v>489000</v>
      </c>
      <c r="C16" s="7" t="n">
        <v>960</v>
      </c>
      <c r="D16" s="9">
        <f>C16/60</f>
        <v/>
      </c>
      <c r="E16" s="8">
        <f>ROUND(B16/D16,0)</f>
        <v/>
      </c>
    </row>
    <row r="17">
      <c r="A17" s="4" t="inlineStr">
        <is>
          <t>PGR8x2</t>
        </is>
      </c>
      <c r="B17" s="5" t="n">
        <v>489000</v>
      </c>
      <c r="C17" s="4" t="n">
        <v>960</v>
      </c>
      <c r="D17" s="6">
        <f>C17/60</f>
        <v/>
      </c>
      <c r="E17" s="5">
        <f>ROUND(B17/D17,0)</f>
        <v/>
      </c>
    </row>
    <row r="18">
      <c r="A18" s="7" t="inlineStr">
        <is>
          <t>PGR4x3</t>
        </is>
      </c>
      <c r="B18" s="8" t="n">
        <v>387000</v>
      </c>
      <c r="C18" s="7" t="n">
        <v>720</v>
      </c>
      <c r="D18" s="9">
        <f>C18/60</f>
        <v/>
      </c>
      <c r="E18" s="8">
        <f>ROUND(B18/D18,0)</f>
        <v/>
      </c>
    </row>
    <row r="19">
      <c r="A19" s="4" t="inlineStr">
        <is>
          <t>PGR6x2</t>
        </is>
      </c>
      <c r="B19" s="5" t="n">
        <v>387000</v>
      </c>
      <c r="C19" s="4" t="n">
        <v>720</v>
      </c>
      <c r="D19" s="6">
        <f>C19/60</f>
        <v/>
      </c>
      <c r="E19" s="5">
        <f>ROUND(B19/D19,0)</f>
        <v/>
      </c>
    </row>
    <row r="20">
      <c r="A20" s="7" t="inlineStr">
        <is>
          <t>PGR4x2</t>
        </is>
      </c>
      <c r="B20" s="8" t="n">
        <v>285000</v>
      </c>
      <c r="C20" s="7" t="n">
        <v>480</v>
      </c>
      <c r="D20" s="9">
        <f>C20/60</f>
        <v/>
      </c>
      <c r="E20" s="8">
        <f>ROUND(B20/D20,0)</f>
        <v/>
      </c>
    </row>
    <row r="22">
      <c r="A22" s="10" t="inlineStr">
        <is>
          <t>Mínimo</t>
        </is>
      </c>
      <c r="E22" s="11">
        <f>MIN(E5:E20)</f>
        <v/>
      </c>
    </row>
    <row r="23">
      <c r="A23" s="10" t="inlineStr">
        <is>
          <t>Máximo</t>
        </is>
      </c>
      <c r="E23" s="11">
        <f>MAX(E5:E20)</f>
        <v/>
      </c>
    </row>
    <row r="25">
      <c r="A25" t="inlineStr">
        <is>
          <t>Ejemplo: 2 horas extra de PGR6x2 = 2 × $32.250 = $64.500. El valor se puede ajustar a mano en el modal de Cobros y pagos.</t>
        </is>
      </c>
    </row>
  </sheetData>
  <mergeCells count="2">
    <mergeCell ref="A2:E2"/>
    <mergeCell ref="A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0" customWidth="1" min="4" max="4"/>
    <col width="40" customWidth="1" min="5" max="5"/>
  </cols>
  <sheetData>
    <row r="1">
      <c r="A1" s="1" t="inlineStr">
        <is>
          <t>Planes SIN horas configuradas: Dreamers debe completar la columna amarilla</t>
        </is>
      </c>
    </row>
    <row r="2" ht="46" customHeight="1">
      <c r="A2" s="2" t="inlineStr">
        <is>
          <t>A estos planes no se les pueden vender horas adicionales ni cobrar excedentes hasta que tengan las horas incluidas al mes. Escriba las HORAS (no minutos) que incluye cada plan; el valor de la hora se calcula solo.</t>
        </is>
      </c>
    </row>
    <row r="4" ht="32" customHeight="1">
      <c r="A4" s="3" t="inlineStr">
        <is>
          <t>Plan</t>
        </is>
      </c>
      <c r="B4" s="3" t="inlineStr">
        <is>
          <t>Precio mensual</t>
        </is>
      </c>
      <c r="C4" s="3" t="inlineStr">
        <is>
          <t>Horas incluidas al mes
(completar)</t>
        </is>
      </c>
      <c r="D4" s="3" t="inlineStr">
        <is>
          <t>Valor de la hora
(se calcula)</t>
        </is>
      </c>
      <c r="E4" s="3" t="inlineStr">
        <is>
          <t>Observaciones</t>
        </is>
      </c>
    </row>
    <row r="5">
      <c r="A5" s="4" t="inlineStr">
        <is>
          <t>CPP1x1</t>
        </is>
      </c>
      <c r="B5" s="5" t="n">
        <v>35000</v>
      </c>
      <c r="C5" s="12" t="n"/>
      <c r="D5" s="5">
        <f>IF(C5&gt;0,ROUND(B5/C5,0),"")</f>
        <v/>
      </c>
      <c r="E5" s="12" t="n"/>
    </row>
    <row r="6">
      <c r="A6" s="4" t="inlineStr">
        <is>
          <t>CPG1x2</t>
        </is>
      </c>
      <c r="B6" s="5" t="n">
        <v>70000</v>
      </c>
      <c r="C6" s="12" t="n"/>
      <c r="D6" s="5">
        <f>IF(C6&gt;0,ROUND(B6/C6,0),"")</f>
        <v/>
      </c>
      <c r="E6" s="12" t="n"/>
    </row>
    <row r="7">
      <c r="A7" s="4" t="inlineStr">
        <is>
          <t>PGP4x1</t>
        </is>
      </c>
      <c r="B7" s="5" t="n">
        <v>122500</v>
      </c>
      <c r="C7" s="12" t="n"/>
      <c r="D7" s="5">
        <f>IF(C7&gt;0,ROUND(B7/C7,0),"")</f>
        <v/>
      </c>
      <c r="E7" s="12" t="n"/>
    </row>
    <row r="8">
      <c r="A8" s="4" t="inlineStr">
        <is>
          <t>PGP8x1</t>
        </is>
      </c>
      <c r="B8" s="5" t="n">
        <v>245000</v>
      </c>
      <c r="C8" s="12" t="n"/>
      <c r="D8" s="5">
        <f>IF(C8&gt;0,ROUND(B8/C8,0),"")</f>
        <v/>
      </c>
      <c r="E8" s="12" t="n"/>
    </row>
    <row r="9">
      <c r="A9" s="4" t="inlineStr">
        <is>
          <t>PGC20x2</t>
        </is>
      </c>
      <c r="B9" s="5" t="n">
        <v>996000</v>
      </c>
      <c r="C9" s="12" t="n"/>
      <c r="D9" s="5">
        <f>IF(C9&gt;0,ROUND(B9/C9,0),"")</f>
        <v/>
      </c>
      <c r="E9" s="12" t="n"/>
    </row>
    <row r="10">
      <c r="A10" s="4" t="inlineStr">
        <is>
          <t>PGC16x3</t>
        </is>
      </c>
      <c r="B10" s="5" t="n">
        <v>1048000</v>
      </c>
      <c r="C10" s="12" t="n"/>
      <c r="D10" s="5">
        <f>IF(C10&gt;0,ROUND(B10/C10,0),"")</f>
        <v/>
      </c>
      <c r="E10" s="12" t="n"/>
    </row>
    <row r="11">
      <c r="A11" s="4" t="inlineStr">
        <is>
          <t>PGC12x3+2</t>
        </is>
      </c>
      <c r="B11" s="5" t="n">
        <v>1064000</v>
      </c>
      <c r="C11" s="12" t="n"/>
      <c r="D11" s="5">
        <f>IF(C11&gt;0,ROUND(B11/C11,0),"")</f>
        <v/>
      </c>
      <c r="E11" s="12" t="n"/>
    </row>
    <row r="12">
      <c r="A12" s="4" t="inlineStr">
        <is>
          <t>PGC20x3</t>
        </is>
      </c>
      <c r="B12" s="5" t="n">
        <v>1107000</v>
      </c>
      <c r="C12" s="12" t="n"/>
      <c r="D12" s="5">
        <f>IF(C12&gt;0,ROUND(B12/C12,0),"")</f>
        <v/>
      </c>
      <c r="E12" s="12" t="n"/>
    </row>
    <row r="13">
      <c r="A13" s="4" t="inlineStr">
        <is>
          <t>PGC20x4</t>
        </is>
      </c>
      <c r="B13" s="5" t="n">
        <v>1230000</v>
      </c>
      <c r="C13" s="12" t="n"/>
      <c r="D13" s="5">
        <f>IF(C13&gt;0,ROUND(B13/C13,0),"")</f>
        <v/>
      </c>
      <c r="E13" s="12" t="n"/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Notas</t>
        </is>
      </c>
    </row>
    <row r="3" ht="48" customHeight="1">
      <c r="A3" s="13" t="inlineStr">
        <is>
          <t>Cómo se usa</t>
        </is>
      </c>
      <c r="B3" s="14" t="inlineStr">
        <is>
          <t>En SportMaps → Cobros y pagos → Nuevo cobro → «Horas adicionales». Se elige cuántas horas (de a 15 minutos) y el sistema propone el valor con la tarifa del plan.</t>
        </is>
      </c>
    </row>
    <row r="4" ht="48" customHeight="1">
      <c r="A4" s="13" t="inlineStr">
        <is>
          <t>Quién puede</t>
        </is>
      </c>
      <c r="B4" s="14" t="inlineStr">
        <is>
          <t>Solo el dueño de la escuela vende horas adicionales.</t>
        </is>
      </c>
    </row>
    <row r="5" ht="48" customHeight="1">
      <c r="A5" s="13" t="inlineStr">
        <is>
          <t>Cuándo se suman</t>
        </is>
      </c>
      <c r="B5" s="14" t="inlineStr">
        <is>
          <t>Las horas entran al banco del atleta solo cuando el cobro queda PAGADO. Si se anula el cobro, se restan.</t>
        </is>
      </c>
    </row>
    <row r="6" ht="48" customHeight="1">
      <c r="A6" s="13" t="inlineStr">
        <is>
          <t>Si el atleta ya las consumió</t>
        </is>
      </c>
      <c r="B6" s="14" t="inlineStr">
        <is>
          <t>Si el atleta usó más de lo incluido, el cron del cierre de periodo sigue sugiriendo el excedente como siempre.</t>
        </is>
      </c>
    </row>
    <row r="7" ht="48" customHeight="1">
      <c r="A7" s="13" t="inlineStr">
        <is>
          <t>Tarifa</t>
        </is>
      </c>
      <c r="B7" s="14" t="inlineStr">
        <is>
          <t>Un solo valor por plan completo: precio ÷ horas incluidas, sin tarifa especial de excedente (decisión D8). Por eso la hora de PGR4x2 ($35.625) cuesta más del doble que la de PGA12x3 ($15.139).</t>
        </is>
      </c>
    </row>
    <row r="8" ht="48" customHeight="1">
      <c r="A8" s="13" t="inlineStr">
        <is>
          <t>Pendiente</t>
        </is>
      </c>
      <c r="B8" s="14" t="inlineStr">
        <is>
          <t>Confirmar si Dreamers prefiere una tarifa única de hora extra para todos los planes. Hoy no se cobra así.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2026-10-21T20:44:48Z</dcterms:created>
  <dcterms:modified xmlns:dcterms="http://purl.org/dc/terms/" xmlns:xsi="http://www.w3.org/2001/XMLSchema-instance" xsi:type="dcterms:W3CDTF">2026-10-21T20:44:48Z</dcterms:modified>
</cp:coreProperties>
</file>